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KP-AMS\kp-ams-v2\public\"/>
    </mc:Choice>
  </mc:AlternateContent>
  <xr:revisionPtr revIDLastSave="0" documentId="8_{A6A9FF1C-6904-450D-845C-D5D0C244379F}" xr6:coauthVersionLast="47" xr6:coauthVersionMax="47" xr10:uidLastSave="{00000000-0000-0000-0000-000000000000}"/>
  <bookViews>
    <workbookView xWindow="-110" yWindow="-110" windowWidth="25820" windowHeight="15500" xr2:uid="{E3DB9CE9-8BF7-45DF-BBC9-29B65E0332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1" l="1"/>
  <c r="F13" i="1"/>
  <c r="F2" i="1" s="1"/>
</calcChain>
</file>

<file path=xl/sharedStrings.xml><?xml version="1.0" encoding="utf-8"?>
<sst xmlns="http://schemas.openxmlformats.org/spreadsheetml/2006/main" count="131" uniqueCount="69">
  <si>
    <t>Type of audit</t>
  </si>
  <si>
    <t>Client Name</t>
  </si>
  <si>
    <t>Areas/ Scope</t>
  </si>
  <si>
    <t>Billing Amount</t>
  </si>
  <si>
    <t>Swadhar IDWC</t>
  </si>
  <si>
    <t>Embezzelment</t>
  </si>
  <si>
    <t>ACG PAM Pharma</t>
  </si>
  <si>
    <t>Contract Labour</t>
  </si>
  <si>
    <t>ATS Nashik</t>
  </si>
  <si>
    <t>JIIU</t>
  </si>
  <si>
    <t>EOW 139</t>
  </si>
  <si>
    <t>Mohan Bajaj and Pote Family</t>
  </si>
  <si>
    <t>Accent Packaging</t>
  </si>
  <si>
    <t>Liquidation</t>
  </si>
  <si>
    <t>EOW 78</t>
  </si>
  <si>
    <t>Deccan - Nahata and Maktedar</t>
  </si>
  <si>
    <t>Raheja</t>
  </si>
  <si>
    <t>Shaillesh Jadhav</t>
  </si>
  <si>
    <t>RB Tech</t>
  </si>
  <si>
    <t>Suman Sharma</t>
  </si>
  <si>
    <t>Allana Oils</t>
  </si>
  <si>
    <t>Oil Division</t>
  </si>
  <si>
    <t>Brembo</t>
  </si>
  <si>
    <t>Scrap</t>
  </si>
  <si>
    <t>IAC India</t>
  </si>
  <si>
    <t>Tooling</t>
  </si>
  <si>
    <t>IVP Ltd</t>
  </si>
  <si>
    <t>Customer Collusion</t>
  </si>
  <si>
    <t>Internal Audit</t>
  </si>
  <si>
    <t>Pinnacle - EKA</t>
  </si>
  <si>
    <t>IA</t>
  </si>
  <si>
    <t>Cooper</t>
  </si>
  <si>
    <t>ATR</t>
  </si>
  <si>
    <t>StatCompliance</t>
  </si>
  <si>
    <t>P2P, Subcon</t>
  </si>
  <si>
    <t>Inventory</t>
  </si>
  <si>
    <t>O2C</t>
  </si>
  <si>
    <t>SOP Drafting</t>
  </si>
  <si>
    <t>Costing Verification</t>
  </si>
  <si>
    <t>Production Review</t>
  </si>
  <si>
    <t>JD</t>
  </si>
  <si>
    <t>Stock Take</t>
  </si>
  <si>
    <t>Mahindra</t>
  </si>
  <si>
    <t>Mah Logistics Ltd</t>
  </si>
  <si>
    <t>Mah Accelo Ltd</t>
  </si>
  <si>
    <t>Bristlecone India Ltd</t>
  </si>
  <si>
    <t>Mah Auto Steel Pvt Ltd</t>
  </si>
  <si>
    <t>Mah Steel Service Center Ltd</t>
  </si>
  <si>
    <t>Mahindra MSTC Recycling Pvt. Ltd</t>
  </si>
  <si>
    <t>LORDS Freight (India) Private Limited</t>
  </si>
  <si>
    <t>MLL Express Services Private Limited</t>
  </si>
  <si>
    <t>MLL Mobility Pvt. Ltd</t>
  </si>
  <si>
    <t>Forensic Audits</t>
  </si>
  <si>
    <t>ACG PAM Pharma Pvt Ltd</t>
  </si>
  <si>
    <t>EOW</t>
  </si>
  <si>
    <t>Accent Packaging Pvt Ltd</t>
  </si>
  <si>
    <t>Raheja Vista Hsg Soc</t>
  </si>
  <si>
    <t>RB Technocrafts and Reclaimers Pvt ltd</t>
  </si>
  <si>
    <t>Frigorifico Allana Pvt Ltd</t>
  </si>
  <si>
    <t>Brembo India Pvt Ltd</t>
  </si>
  <si>
    <t>IAC India Pvt Ltd</t>
  </si>
  <si>
    <t>Eka Mobility Pvt Ltd</t>
  </si>
  <si>
    <t>Cooper Corporation Pvt Ltd</t>
  </si>
  <si>
    <t>Mnmg Consulting</t>
  </si>
  <si>
    <t>John Deere India Pvt Ltd</t>
  </si>
  <si>
    <t>Mahindra and Mahindra Lt</t>
  </si>
  <si>
    <t>Assignment Specs</t>
  </si>
  <si>
    <t xml:space="preserve">Amount Receipt </t>
  </si>
  <si>
    <t>Billed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</si>
</sst>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FFFFFF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0A4B92"/>
        <bgColor rgb="FF0A4B92"/>
      </patternFill>
    </fill>
    <fill>
      <patternFill patternType="solid">
        <fgColor theme="5" tint="0.59999389629810485"/>
        <bgColor rgb="FFFFFFFF"/>
      </patternFill>
    </fill>
    <fill>
      <patternFill patternType="solid">
        <fgColor theme="5" tint="0.59999389629810485"/>
        <bgColor rgb="FFFFFF00"/>
      </patternFill>
    </fill>
    <fill>
      <patternFill patternType="solid">
        <fgColor theme="5" tint="0.59999389629810485"/>
        <bgColor rgb="FFC9DAF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FF00"/>
      </patternFill>
    </fill>
    <fill>
      <patternFill patternType="solid">
        <fgColor theme="4" tint="0.79998168889431442"/>
        <bgColor rgb="FFFFF2CC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rgb="FF00FF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164" fontId="4" fillId="3" borderId="1" xfId="1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center"/>
    </xf>
    <xf numFmtId="164" fontId="4" fillId="5" borderId="1" xfId="1" applyNumberFormat="1" applyFont="1" applyFill="1" applyBorder="1" applyAlignment="1">
      <alignment horizontal="center" vertical="center"/>
    </xf>
    <xf numFmtId="0" fontId="5" fillId="5" borderId="1" xfId="0" applyFont="1" applyFill="1" applyBorder="1"/>
    <xf numFmtId="0" fontId="6" fillId="6" borderId="1" xfId="0" applyFont="1" applyFill="1" applyBorder="1" applyAlignment="1">
      <alignment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1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1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/>
    </xf>
    <xf numFmtId="164" fontId="5" fillId="6" borderId="1" xfId="1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4" fillId="3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/>
    </xf>
    <xf numFmtId="164" fontId="2" fillId="9" borderId="0" xfId="0" applyNumberFormat="1" applyFont="1" applyFill="1"/>
    <xf numFmtId="164" fontId="6" fillId="10" borderId="1" xfId="1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A0D9A-F378-48EA-8985-DEBE7C20569D}">
  <dimension ref="B2:H34"/>
  <sheetViews>
    <sheetView tabSelected="1" workbookViewId="0"/>
  </sheetViews>
  <sheetFormatPr defaultRowHeight="14.5" x14ac:dyDescent="0.35"/>
  <cols>
    <col min="2" max="2" width="16.6328125" bestFit="1" customWidth="1"/>
    <col min="3" max="3" width="36.26953125" style="22" bestFit="1" customWidth="1"/>
    <col min="4" max="4" width="17.08984375" style="22" bestFit="1" customWidth="1"/>
    <col min="5" max="5" width="33.1796875" bestFit="1" customWidth="1"/>
    <col min="6" max="6" width="15.1796875" bestFit="1" customWidth="1"/>
    <col min="7" max="7" width="14.7265625" bestFit="1" customWidth="1"/>
    <col min="8" max="8" width="16.81640625" bestFit="1" customWidth="1"/>
  </cols>
  <sheetData>
    <row r="2" spans="2:8" x14ac:dyDescent="0.35">
      <c r="F2" s="25">
        <f>+SUM(F3:F34)</f>
        <v>13465600</v>
      </c>
    </row>
    <row r="3" spans="2:8" ht="15.5" x14ac:dyDescent="0.35">
      <c r="B3" s="1" t="s">
        <v>0</v>
      </c>
      <c r="C3" s="17" t="s">
        <v>1</v>
      </c>
      <c r="D3" s="17" t="s">
        <v>66</v>
      </c>
      <c r="E3" s="1" t="s">
        <v>2</v>
      </c>
      <c r="F3" s="2" t="s">
        <v>3</v>
      </c>
      <c r="G3" s="26" t="s">
        <v>68</v>
      </c>
      <c r="H3" s="26" t="s">
        <v>67</v>
      </c>
    </row>
    <row r="4" spans="2:8" ht="15.5" x14ac:dyDescent="0.35">
      <c r="B4" s="3" t="s">
        <v>52</v>
      </c>
      <c r="C4" s="18" t="s">
        <v>4</v>
      </c>
      <c r="D4" s="23" t="s">
        <v>4</v>
      </c>
      <c r="E4" s="4" t="s">
        <v>5</v>
      </c>
      <c r="F4" s="5">
        <v>250000</v>
      </c>
      <c r="G4" s="5">
        <v>250000</v>
      </c>
      <c r="H4" s="5">
        <v>250000</v>
      </c>
    </row>
    <row r="5" spans="2:8" ht="15.5" x14ac:dyDescent="0.35">
      <c r="B5" s="3" t="s">
        <v>52</v>
      </c>
      <c r="C5" s="19" t="s">
        <v>53</v>
      </c>
      <c r="D5" s="19" t="s">
        <v>6</v>
      </c>
      <c r="E5" s="6" t="s">
        <v>7</v>
      </c>
      <c r="F5" s="7">
        <v>200000</v>
      </c>
      <c r="G5" s="7">
        <v>200000</v>
      </c>
      <c r="H5" s="7">
        <v>200000</v>
      </c>
    </row>
    <row r="6" spans="2:8" ht="15.5" x14ac:dyDescent="0.35">
      <c r="B6" s="3" t="s">
        <v>52</v>
      </c>
      <c r="C6" s="19" t="s">
        <v>8</v>
      </c>
      <c r="D6" s="19" t="s">
        <v>8</v>
      </c>
      <c r="E6" s="8" t="s">
        <v>9</v>
      </c>
      <c r="F6" s="7">
        <v>250000</v>
      </c>
      <c r="G6" s="7">
        <v>0</v>
      </c>
      <c r="H6" s="7"/>
    </row>
    <row r="7" spans="2:8" ht="15.5" x14ac:dyDescent="0.35">
      <c r="B7" s="3" t="s">
        <v>52</v>
      </c>
      <c r="C7" s="19" t="s">
        <v>54</v>
      </c>
      <c r="D7" s="19" t="s">
        <v>10</v>
      </c>
      <c r="E7" s="8" t="s">
        <v>11</v>
      </c>
      <c r="F7" s="7">
        <v>200000</v>
      </c>
      <c r="G7" s="7">
        <v>0</v>
      </c>
      <c r="H7" s="7"/>
    </row>
    <row r="8" spans="2:8" ht="15.5" x14ac:dyDescent="0.35">
      <c r="B8" s="3" t="s">
        <v>52</v>
      </c>
      <c r="C8" s="19" t="s">
        <v>55</v>
      </c>
      <c r="D8" s="19" t="s">
        <v>12</v>
      </c>
      <c r="E8" s="8" t="s">
        <v>13</v>
      </c>
      <c r="F8" s="7">
        <v>190000</v>
      </c>
      <c r="G8" s="7">
        <v>190000</v>
      </c>
      <c r="H8" s="7">
        <v>100000</v>
      </c>
    </row>
    <row r="9" spans="2:8" ht="15.5" x14ac:dyDescent="0.35">
      <c r="B9" s="3" t="s">
        <v>52</v>
      </c>
      <c r="C9" s="19" t="s">
        <v>54</v>
      </c>
      <c r="D9" s="19" t="s">
        <v>14</v>
      </c>
      <c r="E9" s="8" t="s">
        <v>15</v>
      </c>
      <c r="F9" s="7">
        <v>250000</v>
      </c>
      <c r="G9" s="7">
        <v>0</v>
      </c>
      <c r="H9" s="7"/>
    </row>
    <row r="10" spans="2:8" ht="15.5" x14ac:dyDescent="0.35">
      <c r="B10" s="3" t="s">
        <v>52</v>
      </c>
      <c r="C10" s="19" t="s">
        <v>56</v>
      </c>
      <c r="D10" s="19" t="s">
        <v>16</v>
      </c>
      <c r="E10" s="8" t="s">
        <v>17</v>
      </c>
      <c r="F10" s="7">
        <v>50000</v>
      </c>
      <c r="G10" s="7">
        <v>50000</v>
      </c>
      <c r="H10" s="7">
        <v>50000</v>
      </c>
    </row>
    <row r="11" spans="2:8" ht="15.5" x14ac:dyDescent="0.35">
      <c r="B11" s="3" t="s">
        <v>52</v>
      </c>
      <c r="C11" s="19" t="s">
        <v>57</v>
      </c>
      <c r="D11" s="19" t="s">
        <v>18</v>
      </c>
      <c r="E11" s="8" t="s">
        <v>19</v>
      </c>
      <c r="F11" s="7">
        <v>2500000</v>
      </c>
      <c r="G11" s="7">
        <v>2500000</v>
      </c>
      <c r="H11" s="7">
        <v>1300000</v>
      </c>
    </row>
    <row r="12" spans="2:8" ht="15.5" x14ac:dyDescent="0.35">
      <c r="B12" s="3" t="s">
        <v>52</v>
      </c>
      <c r="C12" s="19" t="s">
        <v>58</v>
      </c>
      <c r="D12" s="19" t="s">
        <v>20</v>
      </c>
      <c r="E12" s="8" t="s">
        <v>21</v>
      </c>
      <c r="F12" s="7">
        <v>1200000</v>
      </c>
      <c r="G12" s="7">
        <v>1200000</v>
      </c>
      <c r="H12" s="7"/>
    </row>
    <row r="13" spans="2:8" ht="15.5" x14ac:dyDescent="0.35">
      <c r="B13" s="3" t="s">
        <v>52</v>
      </c>
      <c r="C13" s="19" t="s">
        <v>59</v>
      </c>
      <c r="D13" s="19" t="s">
        <v>22</v>
      </c>
      <c r="E13" s="8" t="s">
        <v>23</v>
      </c>
      <c r="F13" s="7">
        <f>200000</f>
        <v>200000</v>
      </c>
      <c r="G13" s="7">
        <v>200000</v>
      </c>
      <c r="H13" s="7"/>
    </row>
    <row r="14" spans="2:8" ht="15.5" x14ac:dyDescent="0.35">
      <c r="B14" s="3" t="s">
        <v>52</v>
      </c>
      <c r="C14" s="19" t="s">
        <v>60</v>
      </c>
      <c r="D14" s="19" t="s">
        <v>24</v>
      </c>
      <c r="E14" s="8" t="s">
        <v>25</v>
      </c>
      <c r="F14" s="7">
        <v>800000</v>
      </c>
      <c r="G14" s="7"/>
      <c r="H14" s="7"/>
    </row>
    <row r="15" spans="2:8" ht="15.5" x14ac:dyDescent="0.35">
      <c r="B15" s="3" t="s">
        <v>52</v>
      </c>
      <c r="C15" s="19" t="s">
        <v>26</v>
      </c>
      <c r="D15" s="19" t="s">
        <v>26</v>
      </c>
      <c r="E15" s="8" t="s">
        <v>27</v>
      </c>
      <c r="F15" s="7">
        <v>750000</v>
      </c>
      <c r="G15" s="7"/>
      <c r="H15" s="7"/>
    </row>
    <row r="16" spans="2:8" ht="15.5" x14ac:dyDescent="0.35">
      <c r="B16" s="9" t="s">
        <v>28</v>
      </c>
      <c r="C16" s="20" t="s">
        <v>61</v>
      </c>
      <c r="D16" s="20" t="s">
        <v>29</v>
      </c>
      <c r="E16" s="10" t="s">
        <v>30</v>
      </c>
      <c r="F16" s="11">
        <v>800000</v>
      </c>
      <c r="G16" s="11"/>
      <c r="H16" s="11"/>
    </row>
    <row r="17" spans="2:8" ht="15.5" x14ac:dyDescent="0.35">
      <c r="B17" s="9" t="s">
        <v>28</v>
      </c>
      <c r="C17" s="21" t="s">
        <v>62</v>
      </c>
      <c r="D17" s="21" t="s">
        <v>31</v>
      </c>
      <c r="E17" s="10" t="s">
        <v>32</v>
      </c>
      <c r="F17" s="11">
        <v>375000</v>
      </c>
      <c r="G17" s="11">
        <v>375000</v>
      </c>
      <c r="H17" s="11">
        <v>375000</v>
      </c>
    </row>
    <row r="18" spans="2:8" ht="15.5" x14ac:dyDescent="0.35">
      <c r="B18" s="9" t="s">
        <v>28</v>
      </c>
      <c r="C18" s="21" t="s">
        <v>62</v>
      </c>
      <c r="D18" s="21" t="s">
        <v>31</v>
      </c>
      <c r="E18" s="10" t="s">
        <v>33</v>
      </c>
      <c r="F18" s="11">
        <v>375000</v>
      </c>
      <c r="G18" s="11">
        <v>0</v>
      </c>
      <c r="H18" s="11"/>
    </row>
    <row r="19" spans="2:8" ht="15.5" x14ac:dyDescent="0.35">
      <c r="B19" s="9" t="s">
        <v>28</v>
      </c>
      <c r="C19" s="21" t="s">
        <v>62</v>
      </c>
      <c r="D19" s="21" t="s">
        <v>31</v>
      </c>
      <c r="E19" s="12" t="s">
        <v>34</v>
      </c>
      <c r="F19" s="11">
        <v>375000</v>
      </c>
      <c r="G19" s="11">
        <v>0</v>
      </c>
      <c r="H19" s="11"/>
    </row>
    <row r="20" spans="2:8" ht="15.5" x14ac:dyDescent="0.35">
      <c r="B20" s="9" t="s">
        <v>28</v>
      </c>
      <c r="C20" s="21" t="s">
        <v>62</v>
      </c>
      <c r="D20" s="21" t="s">
        <v>31</v>
      </c>
      <c r="E20" s="12" t="s">
        <v>35</v>
      </c>
      <c r="F20" s="11">
        <v>375000</v>
      </c>
      <c r="G20" s="11">
        <v>0</v>
      </c>
      <c r="H20" s="11"/>
    </row>
    <row r="21" spans="2:8" ht="15.5" x14ac:dyDescent="0.35">
      <c r="B21" s="9" t="s">
        <v>28</v>
      </c>
      <c r="C21" s="21" t="s">
        <v>62</v>
      </c>
      <c r="D21" s="21" t="s">
        <v>31</v>
      </c>
      <c r="E21" s="12" t="s">
        <v>36</v>
      </c>
      <c r="F21" s="11">
        <v>375000</v>
      </c>
      <c r="G21" s="11">
        <v>0</v>
      </c>
      <c r="H21" s="11"/>
    </row>
    <row r="22" spans="2:8" ht="15.5" x14ac:dyDescent="0.35">
      <c r="B22" s="9" t="s">
        <v>37</v>
      </c>
      <c r="C22" s="21" t="s">
        <v>62</v>
      </c>
      <c r="D22" s="21" t="s">
        <v>31</v>
      </c>
      <c r="E22" s="13" t="s">
        <v>37</v>
      </c>
      <c r="F22" s="14">
        <v>1500000</v>
      </c>
      <c r="G22" s="14">
        <v>150000</v>
      </c>
      <c r="H22" s="14">
        <v>150000</v>
      </c>
    </row>
    <row r="23" spans="2:8" ht="15.5" x14ac:dyDescent="0.35">
      <c r="B23" s="9" t="s">
        <v>63</v>
      </c>
      <c r="C23" s="21" t="s">
        <v>62</v>
      </c>
      <c r="D23" s="21" t="s">
        <v>31</v>
      </c>
      <c r="E23" s="13" t="s">
        <v>38</v>
      </c>
      <c r="F23" s="14">
        <f>125000*2</f>
        <v>250000</v>
      </c>
      <c r="G23" s="14">
        <v>250000</v>
      </c>
      <c r="H23" s="14">
        <v>250000</v>
      </c>
    </row>
    <row r="24" spans="2:8" ht="15.5" x14ac:dyDescent="0.35">
      <c r="B24" s="9" t="s">
        <v>63</v>
      </c>
      <c r="C24" s="21" t="s">
        <v>62</v>
      </c>
      <c r="D24" s="21" t="s">
        <v>31</v>
      </c>
      <c r="E24" s="13" t="s">
        <v>39</v>
      </c>
      <c r="F24" s="14">
        <v>300000</v>
      </c>
      <c r="G24" s="14">
        <v>200000</v>
      </c>
      <c r="H24" s="14">
        <v>200000</v>
      </c>
    </row>
    <row r="25" spans="2:8" ht="15.5" x14ac:dyDescent="0.35">
      <c r="B25" s="9" t="s">
        <v>28</v>
      </c>
      <c r="C25" s="20" t="s">
        <v>64</v>
      </c>
      <c r="D25" s="24" t="s">
        <v>40</v>
      </c>
      <c r="E25" s="15" t="s">
        <v>41</v>
      </c>
      <c r="F25" s="16">
        <v>145600</v>
      </c>
      <c r="G25" s="16">
        <v>49600</v>
      </c>
      <c r="H25" s="16">
        <v>49600</v>
      </c>
    </row>
    <row r="26" spans="2:8" ht="15.5" x14ac:dyDescent="0.35">
      <c r="B26" s="9" t="s">
        <v>28</v>
      </c>
      <c r="C26" s="21" t="s">
        <v>65</v>
      </c>
      <c r="D26" s="21" t="s">
        <v>42</v>
      </c>
      <c r="E26" s="15" t="s">
        <v>43</v>
      </c>
      <c r="F26" s="16">
        <v>450000</v>
      </c>
      <c r="G26" s="16">
        <v>0</v>
      </c>
      <c r="H26" s="16"/>
    </row>
    <row r="27" spans="2:8" ht="15.5" x14ac:dyDescent="0.35">
      <c r="B27" s="9" t="s">
        <v>28</v>
      </c>
      <c r="C27" s="21" t="s">
        <v>65</v>
      </c>
      <c r="D27" s="21" t="s">
        <v>42</v>
      </c>
      <c r="E27" s="15" t="s">
        <v>44</v>
      </c>
      <c r="F27" s="16">
        <v>425000</v>
      </c>
      <c r="G27" s="16"/>
      <c r="H27" s="16"/>
    </row>
    <row r="28" spans="2:8" ht="15.5" x14ac:dyDescent="0.35">
      <c r="B28" s="9" t="s">
        <v>28</v>
      </c>
      <c r="C28" s="21" t="s">
        <v>65</v>
      </c>
      <c r="D28" s="21" t="s">
        <v>42</v>
      </c>
      <c r="E28" s="15" t="s">
        <v>45</v>
      </c>
      <c r="F28" s="16">
        <v>250000</v>
      </c>
      <c r="G28" s="16"/>
      <c r="H28" s="16"/>
    </row>
    <row r="29" spans="2:8" ht="15.5" x14ac:dyDescent="0.35">
      <c r="B29" s="9" t="s">
        <v>28</v>
      </c>
      <c r="C29" s="21" t="s">
        <v>65</v>
      </c>
      <c r="D29" s="21" t="s">
        <v>42</v>
      </c>
      <c r="E29" s="15" t="s">
        <v>46</v>
      </c>
      <c r="F29" s="16">
        <v>250000</v>
      </c>
      <c r="G29" s="16"/>
      <c r="H29" s="16"/>
    </row>
    <row r="30" spans="2:8" ht="15.5" x14ac:dyDescent="0.35">
      <c r="B30" s="9" t="s">
        <v>28</v>
      </c>
      <c r="C30" s="21" t="s">
        <v>65</v>
      </c>
      <c r="D30" s="21" t="s">
        <v>42</v>
      </c>
      <c r="E30" s="15" t="s">
        <v>47</v>
      </c>
      <c r="F30" s="16">
        <v>150000</v>
      </c>
      <c r="G30" s="16"/>
      <c r="H30" s="16"/>
    </row>
    <row r="31" spans="2:8" ht="15.5" x14ac:dyDescent="0.35">
      <c r="B31" s="9" t="s">
        <v>28</v>
      </c>
      <c r="C31" s="21" t="s">
        <v>65</v>
      </c>
      <c r="D31" s="21" t="s">
        <v>42</v>
      </c>
      <c r="E31" s="15" t="s">
        <v>48</v>
      </c>
      <c r="F31" s="16">
        <v>50000</v>
      </c>
      <c r="G31" s="16"/>
      <c r="H31" s="16"/>
    </row>
    <row r="32" spans="2:8" ht="15.5" x14ac:dyDescent="0.35">
      <c r="B32" s="9" t="s">
        <v>28</v>
      </c>
      <c r="C32" s="21" t="s">
        <v>65</v>
      </c>
      <c r="D32" s="21" t="s">
        <v>42</v>
      </c>
      <c r="E32" s="15" t="s">
        <v>49</v>
      </c>
      <c r="F32" s="16">
        <v>50000</v>
      </c>
      <c r="G32" s="16"/>
      <c r="H32" s="16"/>
    </row>
    <row r="33" spans="2:8" ht="15.5" x14ac:dyDescent="0.35">
      <c r="B33" s="9" t="s">
        <v>28</v>
      </c>
      <c r="C33" s="21" t="s">
        <v>65</v>
      </c>
      <c r="D33" s="21" t="s">
        <v>42</v>
      </c>
      <c r="E33" s="15" t="s">
        <v>50</v>
      </c>
      <c r="F33" s="16">
        <v>80000</v>
      </c>
      <c r="G33" s="16"/>
      <c r="H33" s="16"/>
    </row>
    <row r="34" spans="2:8" ht="15.5" x14ac:dyDescent="0.35">
      <c r="B34" s="9" t="s">
        <v>28</v>
      </c>
      <c r="C34" s="21" t="s">
        <v>65</v>
      </c>
      <c r="D34" s="21" t="s">
        <v>42</v>
      </c>
      <c r="E34" s="15" t="s">
        <v>51</v>
      </c>
      <c r="F34" s="16">
        <v>50000</v>
      </c>
      <c r="G34" s="16"/>
      <c r="H34" s="1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Momin</dc:creator>
  <cp:lastModifiedBy>Hamza Momin</cp:lastModifiedBy>
  <dcterms:created xsi:type="dcterms:W3CDTF">2026-04-05T09:29:16Z</dcterms:created>
  <dcterms:modified xsi:type="dcterms:W3CDTF">2026-04-16T13:09:41Z</dcterms:modified>
</cp:coreProperties>
</file>